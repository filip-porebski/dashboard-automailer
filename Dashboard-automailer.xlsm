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porebskix0106571\Desktop\"/>
    </mc:Choice>
  </mc:AlternateContent>
  <xr:revisionPtr revIDLastSave="0" documentId="13_ncr:1_{A721E643-7A1C-4545-9FE4-817B429787EC}" xr6:coauthVersionLast="44" xr6:coauthVersionMax="44" xr10:uidLastSave="{00000000-0000-0000-0000-000000000000}"/>
  <bookViews>
    <workbookView xWindow="-120" yWindow="-120" windowWidth="29040" windowHeight="15840" activeTab="1" xr2:uid="{377CAF11-5E29-4153-8CDE-7BFC13AA2336}"/>
  </bookViews>
  <sheets>
    <sheet name="Start" sheetId="5" r:id="rId1"/>
    <sheet name="Dashboard" sheetId="1" r:id="rId2"/>
    <sheet name="Settings" sheetId="3" r:id="rId3"/>
    <sheet name="Data" sheetId="2" r:id="rId4"/>
    <sheet name="Dashboard_copy" sheetId="6" state="hidden" r:id="rId5"/>
  </sheets>
  <definedNames>
    <definedName name="Dashboard">Dashboard!$A$1:$L$31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5" i="1" l="1"/>
  <c r="H6" i="1"/>
  <c r="C43" i="1" l="1"/>
  <c r="C27" i="6" l="1"/>
  <c r="C26" i="6"/>
  <c r="G18" i="6"/>
  <c r="H15" i="6"/>
  <c r="H14" i="6"/>
  <c r="G8" i="6"/>
  <c r="F8" i="6"/>
  <c r="E8" i="6"/>
  <c r="D8" i="6"/>
  <c r="H6" i="6"/>
  <c r="H8" i="6" s="1"/>
  <c r="K4" i="6"/>
  <c r="K3" i="6"/>
  <c r="G18" i="1" l="1"/>
  <c r="H15" i="1"/>
  <c r="H14" i="1"/>
  <c r="G8" i="1"/>
  <c r="F8" i="1"/>
  <c r="E8" i="1"/>
  <c r="D8" i="1"/>
  <c r="H8" i="1"/>
  <c r="K3" i="1"/>
</calcChain>
</file>

<file path=xl/sharedStrings.xml><?xml version="1.0" encoding="utf-8"?>
<sst xmlns="http://schemas.openxmlformats.org/spreadsheetml/2006/main" count="131" uniqueCount="81">
  <si>
    <t>ALL DOCUMENTS</t>
  </si>
  <si>
    <t>1-WAY MATCH</t>
  </si>
  <si>
    <t>2-WAY MATCH</t>
  </si>
  <si>
    <t>3-WAY MATCH</t>
  </si>
  <si>
    <t>0076</t>
  </si>
  <si>
    <t xml:space="preserve">Standard: </t>
  </si>
  <si>
    <t xml:space="preserve">1-way: </t>
  </si>
  <si>
    <t xml:space="preserve">2-way: </t>
  </si>
  <si>
    <t xml:space="preserve">3-way: </t>
  </si>
  <si>
    <t xml:space="preserve">Urgent: </t>
  </si>
  <si>
    <t>Duplicates:</t>
  </si>
  <si>
    <t>Indexing:</t>
  </si>
  <si>
    <t>Red invoices:</t>
  </si>
  <si>
    <t xml:space="preserve">Input: </t>
  </si>
  <si>
    <t xml:space="preserve">Index: </t>
  </si>
  <si>
    <t xml:space="preserve">Duplicates: </t>
  </si>
  <si>
    <t xml:space="preserve">Rejects: </t>
  </si>
  <si>
    <t>Remember to check the latest temporary backups update (attached).</t>
  </si>
  <si>
    <t>UTILITY</t>
  </si>
  <si>
    <t>OTHER</t>
  </si>
  <si>
    <t>TODAY IS:</t>
  </si>
  <si>
    <t>CCode:</t>
  </si>
  <si>
    <t>Developer</t>
  </si>
  <si>
    <t>Version</t>
  </si>
  <si>
    <t>Last modified</t>
  </si>
  <si>
    <t>Macro name</t>
  </si>
  <si>
    <t>v1.0</t>
  </si>
  <si>
    <t>Auto-send E-mail</t>
  </si>
  <si>
    <t>Yes</t>
  </si>
  <si>
    <t>Exit after sending</t>
  </si>
  <si>
    <t>Company short name:</t>
  </si>
  <si>
    <t>Company long name:</t>
  </si>
  <si>
    <t>{short_name} worklist items</t>
  </si>
  <si>
    <t>{long_name}</t>
  </si>
  <si>
    <t>Report generated: {date} {time} by {user_name}</t>
  </si>
  <si>
    <r>
      <t xml:space="preserve">Receiver(s) E-mail: </t>
    </r>
    <r>
      <rPr>
        <i/>
        <sz val="11"/>
        <color theme="0" tint="-0.14999847407452621"/>
        <rFont val="Calibri"/>
        <family val="2"/>
        <scheme val="minor"/>
      </rPr>
      <t>(if more than one, use ; and then space to separate)</t>
    </r>
  </si>
  <si>
    <t>Filip Porebski - porebskif@gmail.com</t>
  </si>
  <si>
    <t>Dashboard report send</t>
  </si>
  <si>
    <t>Attach report file</t>
  </si>
  <si>
    <t>porebskif@gmail.com</t>
  </si>
  <si>
    <t>Test company 1</t>
  </si>
  <si>
    <t>Test company 2</t>
  </si>
  <si>
    <t>Test company 3</t>
  </si>
  <si>
    <t>Test company 4</t>
  </si>
  <si>
    <t>Test company 5</t>
  </si>
  <si>
    <t>Test company 6</t>
  </si>
  <si>
    <t>Test company 7</t>
  </si>
  <si>
    <t>Test company 8</t>
  </si>
  <si>
    <t>Test company 9</t>
  </si>
  <si>
    <t>Test company 10</t>
  </si>
  <si>
    <t>Test company 11</t>
  </si>
  <si>
    <t>Test company 12</t>
  </si>
  <si>
    <t>Test company 13</t>
  </si>
  <si>
    <t>Test company 14</t>
  </si>
  <si>
    <t>Test company 15</t>
  </si>
  <si>
    <t>Test company 16</t>
  </si>
  <si>
    <t>Test company 17</t>
  </si>
  <si>
    <t>Test company 18</t>
  </si>
  <si>
    <t>Test 1</t>
  </si>
  <si>
    <t>Test 2</t>
  </si>
  <si>
    <t>Test 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</si>
  <si>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</si>
  <si>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</si>
  <si>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</si>
  <si>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</si>
  <si>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</si>
  <si>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</si>
  <si>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</si>
  <si>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</si>
  <si>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</si>
  <si>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</si>
  <si>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</si>
  <si>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</si>
  <si>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</si>
  <si>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</si>
  <si>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</si>
  <si>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Report generated: 10:27:47 24.11.2020 by Filip Porebski</t>
  </si>
  <si>
    <t>Urgent invoices:</t>
  </si>
  <si>
    <t>Digital:</t>
  </si>
  <si>
    <t>E-Invoices:</t>
  </si>
  <si>
    <t>Rejected: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</si>
</sst>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dd"/>
    <numFmt numFmtId="165" formatCode="000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Bahnschrift"/>
      <family val="2"/>
    </font>
    <font>
      <sz val="10"/>
      <color theme="1" tint="0.249977111117893"/>
      <name val="Bahnschrift"/>
      <family val="2"/>
    </font>
    <font>
      <sz val="11"/>
      <color theme="1" tint="0.499984740745262"/>
      <name val="Bahnschrift"/>
      <family val="2"/>
    </font>
    <font>
      <sz val="10"/>
      <color theme="9"/>
      <name val="Bahnschrift"/>
      <family val="2"/>
    </font>
    <font>
      <sz val="11"/>
      <color theme="0" tint="-0.249977111117893"/>
      <name val="Bahnschrift"/>
      <family val="2"/>
    </font>
    <font>
      <b/>
      <sz val="12"/>
      <color theme="1"/>
      <name val="Bahnschrift"/>
      <family val="2"/>
    </font>
    <font>
      <sz val="12"/>
      <color theme="1" tint="0.499984740745262"/>
      <name val="Bahnschrift"/>
      <family val="2"/>
    </font>
    <font>
      <sz val="11"/>
      <color rgb="FFB9D0FF"/>
      <name val="Bahnschrift"/>
      <family val="2"/>
    </font>
    <font>
      <sz val="8"/>
      <color theme="9"/>
      <name val="Bahnschrift"/>
      <family val="2"/>
    </font>
    <font>
      <sz val="11"/>
      <color rgb="FFFFC000"/>
      <name val="Bahnschrift"/>
      <family val="2"/>
    </font>
    <font>
      <sz val="14"/>
      <color theme="1" tint="0.499984740745262"/>
      <name val="Bahnschrift"/>
      <family val="2"/>
    </font>
    <font>
      <b/>
      <sz val="11"/>
      <color theme="1" tint="0.499984740745262"/>
      <name val="Bahnschrift"/>
      <family val="2"/>
    </font>
    <font>
      <sz val="11"/>
      <color rgb="FFFF0000"/>
      <name val="Bahnschrift"/>
      <family val="2"/>
    </font>
    <font>
      <sz val="12"/>
      <color rgb="FFE31E30"/>
      <name val="Bahnschrift"/>
      <family val="2"/>
    </font>
    <font>
      <b/>
      <sz val="12"/>
      <color theme="0"/>
      <name val="Bahnschrift"/>
      <family val="2"/>
    </font>
    <font>
      <b/>
      <sz val="11"/>
      <color theme="0"/>
      <name val="Bahnschrift"/>
      <family val="2"/>
    </font>
    <font>
      <sz val="11"/>
      <color theme="0"/>
      <name val="Bahnschrift"/>
      <family val="2"/>
    </font>
    <font>
      <sz val="9"/>
      <color rgb="FF00B0F0"/>
      <name val="Bahnschrift"/>
      <family val="2"/>
    </font>
    <font>
      <sz val="11"/>
      <color rgb="FF00B0F0"/>
      <name val="Bahnschrift"/>
      <family val="2"/>
    </font>
    <font>
      <b/>
      <sz val="48"/>
      <color rgb="FF92D050"/>
      <name val="Bahnschrift"/>
      <family val="2"/>
    </font>
    <font>
      <sz val="10"/>
      <color rgb="FF7030A0"/>
      <name val="Bahnschrift"/>
      <family val="2"/>
    </font>
    <font>
      <b/>
      <sz val="11"/>
      <color rgb="FF00B0F0"/>
      <name val="Bahnschrift"/>
      <family val="2"/>
    </font>
    <font>
      <b/>
      <sz val="14"/>
      <color rgb="FF00B0F0"/>
      <name val="Bahnschrift"/>
      <family val="2"/>
    </font>
    <font>
      <sz val="14"/>
      <color rgb="FF7030A0"/>
      <name val="Bahnschrift"/>
      <family val="2"/>
    </font>
    <font>
      <b/>
      <sz val="11"/>
      <color rgb="FFC4C5DE"/>
      <name val="Bahnschrift"/>
      <family val="2"/>
    </font>
    <font>
      <sz val="12"/>
      <color rgb="FFC4C5DE"/>
      <name val="Bahnschrift"/>
      <family val="2"/>
    </font>
    <font>
      <sz val="12"/>
      <color rgb="FF00B0F0"/>
      <name val="Bahnschrift"/>
      <family val="2"/>
    </font>
    <font>
      <sz val="28"/>
      <color rgb="FFC4C5DE"/>
      <name val="Bahnschrift"/>
      <family val="2"/>
    </font>
    <font>
      <sz val="10"/>
      <color rgb="FF2D2F51"/>
      <name val="Bahnschrift"/>
      <family val="2"/>
    </font>
    <font>
      <sz val="9"/>
      <color rgb="FF7030A0"/>
      <name val="Bahnschrift"/>
      <family val="2"/>
    </font>
    <font>
      <b/>
      <sz val="22"/>
      <color rgb="FF7030A0"/>
      <name val="Bahnschrift"/>
      <family val="2"/>
    </font>
    <font>
      <i/>
      <sz val="11"/>
      <color theme="0" tint="-0.14999847407452621"/>
      <name val="Calibri"/>
      <family val="2"/>
      <scheme val="minor"/>
    </font>
    <font>
      <sz val="11"/>
      <color rgb="FF92D050"/>
      <name val="Bahnschrift"/>
      <family val="2"/>
    </font>
    <font>
      <sz val="11"/>
      <color rgb="FF1C1D32"/>
      <name val="Bahnschrift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C1D32"/>
        <bgColor indexed="64"/>
      </patternFill>
    </fill>
    <fill>
      <patternFill patternType="solid">
        <fgColor rgb="FF2D2F5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rgb="FF2D2F5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7">
    <xf numFmtId="0" fontId="0" fillId="0" borderId="0" xfId="0"/>
    <xf numFmtId="0" fontId="3" fillId="2" borderId="0" xfId="0" applyFont="1" applyFill="1"/>
    <xf numFmtId="22" fontId="4" fillId="2" borderId="0" xfId="0" applyNumberFormat="1" applyFont="1" applyFill="1" applyAlignment="1">
      <alignment horizontal="left"/>
    </xf>
    <xf numFmtId="0" fontId="8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center" vertical="top"/>
    </xf>
    <xf numFmtId="0" fontId="7" fillId="2" borderId="0" xfId="0" applyFont="1" applyFill="1"/>
    <xf numFmtId="0" fontId="9" fillId="2" borderId="0" xfId="0" applyFont="1" applyFill="1" applyAlignment="1">
      <alignment horizontal="right" vertical="center"/>
    </xf>
    <xf numFmtId="0" fontId="10" fillId="2" borderId="0" xfId="0" applyFont="1" applyFill="1"/>
    <xf numFmtId="0" fontId="10" fillId="2" borderId="0" xfId="0" applyFont="1" applyFill="1" applyAlignment="1"/>
    <xf numFmtId="164" fontId="3" fillId="2" borderId="0" xfId="0" applyNumberFormat="1" applyFont="1" applyFill="1"/>
    <xf numFmtId="0" fontId="11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/>
    </xf>
    <xf numFmtId="0" fontId="13" fillId="2" borderId="0" xfId="0" applyFont="1" applyFill="1" applyAlignment="1">
      <alignment horizontal="left"/>
    </xf>
    <xf numFmtId="0" fontId="14" fillId="2" borderId="0" xfId="0" applyFont="1" applyFill="1" applyAlignment="1">
      <alignment horizontal="right"/>
    </xf>
    <xf numFmtId="0" fontId="15" fillId="2" borderId="0" xfId="0" applyFont="1" applyFill="1" applyAlignment="1">
      <alignment horizontal="left"/>
    </xf>
    <xf numFmtId="0" fontId="5" fillId="2" borderId="0" xfId="0" applyFont="1" applyFill="1" applyAlignment="1">
      <alignment horizontal="left"/>
    </xf>
    <xf numFmtId="0" fontId="16" fillId="2" borderId="0" xfId="0" applyFont="1" applyFill="1" applyAlignment="1">
      <alignment horizontal="right" vertical="center"/>
    </xf>
    <xf numFmtId="0" fontId="17" fillId="2" borderId="0" xfId="0" applyFont="1" applyFill="1" applyAlignment="1">
      <alignment horizontal="right" vertical="center"/>
    </xf>
    <xf numFmtId="0" fontId="18" fillId="2" borderId="0" xfId="0" applyFont="1" applyFill="1" applyAlignment="1">
      <alignment horizontal="right"/>
    </xf>
    <xf numFmtId="0" fontId="20" fillId="2" borderId="0" xfId="0" applyFont="1" applyFill="1" applyAlignment="1">
      <alignment horizontal="center" vertical="center"/>
    </xf>
    <xf numFmtId="0" fontId="21" fillId="2" borderId="0" xfId="0" applyFont="1" applyFill="1" applyAlignment="1">
      <alignment horizontal="center" vertical="center"/>
    </xf>
    <xf numFmtId="9" fontId="23" fillId="2" borderId="0" xfId="1" applyFont="1" applyFill="1" applyAlignment="1">
      <alignment horizontal="center" vertical="top"/>
    </xf>
    <xf numFmtId="164" fontId="23" fillId="2" borderId="0" xfId="0" applyNumberFormat="1" applyFont="1" applyFill="1" applyAlignment="1">
      <alignment horizontal="right" vertical="top"/>
    </xf>
    <xf numFmtId="0" fontId="21" fillId="2" borderId="0" xfId="0" applyFont="1" applyFill="1"/>
    <xf numFmtId="0" fontId="25" fillId="2" borderId="1" xfId="0" applyFont="1" applyFill="1" applyBorder="1" applyAlignment="1">
      <alignment horizontal="right"/>
    </xf>
    <xf numFmtId="49" fontId="26" fillId="2" borderId="1" xfId="0" applyNumberFormat="1" applyFont="1" applyFill="1" applyBorder="1" applyAlignment="1">
      <alignment horizontal="left"/>
    </xf>
    <xf numFmtId="0" fontId="22" fillId="2" borderId="1" xfId="0" applyFont="1" applyFill="1" applyBorder="1" applyAlignment="1">
      <alignment horizontal="center" vertical="center"/>
    </xf>
    <xf numFmtId="0" fontId="28" fillId="2" borderId="0" xfId="0" applyFont="1" applyFill="1" applyAlignment="1">
      <alignment horizontal="right" vertical="center"/>
    </xf>
    <xf numFmtId="0" fontId="21" fillId="2" borderId="0" xfId="0" applyFont="1" applyFill="1" applyAlignment="1">
      <alignment horizontal="right"/>
    </xf>
    <xf numFmtId="0" fontId="29" fillId="2" borderId="0" xfId="0" applyFont="1" applyFill="1" applyAlignment="1">
      <alignment horizontal="right"/>
    </xf>
    <xf numFmtId="0" fontId="27" fillId="2" borderId="0" xfId="0" applyFont="1" applyFill="1" applyAlignment="1">
      <alignment horizontal="left"/>
    </xf>
    <xf numFmtId="0" fontId="30" fillId="2" borderId="1" xfId="0" applyFont="1" applyFill="1" applyBorder="1" applyAlignment="1">
      <alignment horizontal="center" vertical="center"/>
    </xf>
    <xf numFmtId="0" fontId="31" fillId="2" borderId="0" xfId="0" applyFont="1" applyFill="1" applyAlignment="1">
      <alignment horizontal="left"/>
    </xf>
    <xf numFmtId="0" fontId="32" fillId="2" borderId="0" xfId="0" applyFont="1" applyFill="1" applyAlignment="1">
      <alignment horizontal="right"/>
    </xf>
    <xf numFmtId="0" fontId="32" fillId="2" borderId="0" xfId="0" applyFont="1" applyFill="1" applyAlignment="1">
      <alignment horizontal="left"/>
    </xf>
    <xf numFmtId="0" fontId="33" fillId="2" borderId="0" xfId="0" applyFont="1" applyFill="1" applyAlignment="1">
      <alignment horizontal="left"/>
    </xf>
    <xf numFmtId="164" fontId="23" fillId="2" borderId="0" xfId="0" quotePrefix="1" applyNumberFormat="1" applyFont="1" applyFill="1" applyAlignment="1">
      <alignment horizontal="right" vertical="top"/>
    </xf>
    <xf numFmtId="0" fontId="2" fillId="0" borderId="0" xfId="0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/>
    <xf numFmtId="0" fontId="2" fillId="0" borderId="0" xfId="0" applyFont="1" applyAlignment="1">
      <alignment horizontal="left"/>
    </xf>
    <xf numFmtId="165" fontId="2" fillId="0" borderId="0" xfId="0" applyNumberFormat="1" applyFont="1" applyAlignment="1">
      <alignment horizontal="right"/>
    </xf>
    <xf numFmtId="0" fontId="0" fillId="0" borderId="0" xfId="0" applyFill="1"/>
    <xf numFmtId="0" fontId="0" fillId="3" borderId="0" xfId="0" applyFill="1"/>
    <xf numFmtId="0" fontId="11" fillId="2" borderId="0" xfId="0" applyFont="1" applyFill="1" applyAlignment="1">
      <alignment horizontal="center" vertical="center"/>
    </xf>
    <xf numFmtId="0" fontId="21" fillId="2" borderId="0" xfId="0" quotePrefix="1" applyFont="1" applyFill="1" applyAlignment="1">
      <alignment vertical="center"/>
    </xf>
    <xf numFmtId="0" fontId="35" fillId="2" borderId="0" xfId="0" quotePrefix="1" applyFont="1" applyFill="1" applyAlignment="1">
      <alignment vertical="center"/>
    </xf>
    <xf numFmtId="0" fontId="19" fillId="2" borderId="0" xfId="0" applyFont="1" applyFill="1" applyAlignment="1">
      <alignment vertical="center"/>
    </xf>
    <xf numFmtId="0" fontId="0" fillId="2" borderId="0" xfId="0" applyFill="1"/>
    <xf numFmtId="165" fontId="26" fillId="2" borderId="1" xfId="0" applyNumberFormat="1" applyFont="1" applyFill="1" applyBorder="1" applyAlignment="1">
      <alignment horizontal="left"/>
    </xf>
    <xf numFmtId="0" fontId="3" fillId="4" borderId="0" xfId="0" applyFont="1" applyFill="1"/>
    <xf numFmtId="0" fontId="0" fillId="4" borderId="0" xfId="0" applyFill="1"/>
    <xf numFmtId="0" fontId="36" fillId="4" borderId="0" xfId="0" applyFont="1" applyFill="1"/>
    <xf numFmtId="0" fontId="24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1C1D32"/>
      <color rgb="FF2D2F51"/>
      <color rgb="FFC4C5DE"/>
      <color rgb="FFE31E3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tx>
            <c:strRef>
              <c:f>Dashboard!$C$7</c:f>
              <c:strCache>
                <c:ptCount val="1"/>
                <c:pt idx="0">
                  <c:v>ALL DOCUMENTS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strRef>
              <c:f>Dashboard!$D$7:$H$7</c:f>
              <c:strCache>
                <c:ptCount val="5"/>
                <c:pt idx="0">
                  <c:v>1-WAY MATCH</c:v>
                </c:pt>
                <c:pt idx="1">
                  <c:v>2-WAY MATCH</c:v>
                </c:pt>
                <c:pt idx="2">
                  <c:v>3-WAY MATCH</c:v>
                </c:pt>
                <c:pt idx="3">
                  <c:v>UTILITY</c:v>
                </c:pt>
                <c:pt idx="4">
                  <c:v>OTHER</c:v>
                </c:pt>
              </c:strCache>
            </c:strRef>
          </c:cat>
          <c:val>
            <c:numRef>
              <c:f>Dashboard!$D$6:$H$6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1D-4406-97F4-62374F05D6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1199256"/>
        <c:axId val="681200896"/>
      </c:radarChart>
      <c:catAx>
        <c:axId val="681199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rgbClr val="C4C5DE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681200896"/>
        <c:crosses val="autoZero"/>
        <c:auto val="1"/>
        <c:lblAlgn val="ctr"/>
        <c:lblOffset val="100"/>
        <c:noMultiLvlLbl val="0"/>
      </c:catAx>
      <c:valAx>
        <c:axId val="68120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681199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 rot="0" vert="horz"/>
    <a:lstStyle/>
    <a:p>
      <a:pPr>
        <a:defRPr sz="700">
          <a:solidFill>
            <a:schemeClr val="bg1"/>
          </a:solidFill>
          <a:latin typeface="Bahnschrift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tx>
            <c:strRef>
              <c:f>Dashboard_copy!$C$7</c:f>
              <c:strCache>
                <c:ptCount val="1"/>
                <c:pt idx="0">
                  <c:v>ALL DOCUMENTS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strRef>
              <c:f>Dashboard_copy!$D$7:$H$7</c:f>
              <c:strCache>
                <c:ptCount val="5"/>
                <c:pt idx="0">
                  <c:v>1-WAY MATCH</c:v>
                </c:pt>
                <c:pt idx="1">
                  <c:v>2-WAY MATCH</c:v>
                </c:pt>
                <c:pt idx="2">
                  <c:v>3-WAY MATCH</c:v>
                </c:pt>
                <c:pt idx="3">
                  <c:v>UTILITY</c:v>
                </c:pt>
                <c:pt idx="4">
                  <c:v>OTHER</c:v>
                </c:pt>
              </c:strCache>
            </c:strRef>
          </c:cat>
          <c:val>
            <c:numRef>
              <c:f>Dashboard_copy!$D$6:$H$6</c:f>
              <c:numCache>
                <c:formatCode>General</c:formatCode>
                <c:ptCount val="5"/>
                <c:pt idx="0">
                  <c:v>93</c:v>
                </c:pt>
                <c:pt idx="1">
                  <c:v>62</c:v>
                </c:pt>
                <c:pt idx="2">
                  <c:v>129</c:v>
                </c:pt>
                <c:pt idx="3">
                  <c:v>2</c:v>
                </c:pt>
                <c:pt idx="4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1-4069-8571-1C8F84DC0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1199256"/>
        <c:axId val="681200896"/>
      </c:radarChart>
      <c:catAx>
        <c:axId val="681199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rgbClr val="C4C5DE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681200896"/>
        <c:crosses val="autoZero"/>
        <c:auto val="1"/>
        <c:lblAlgn val="ctr"/>
        <c:lblOffset val="100"/>
        <c:noMultiLvlLbl val="0"/>
      </c:catAx>
      <c:valAx>
        <c:axId val="68120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681199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 rot="0" vert="horz"/>
    <a:lstStyle/>
    <a:p>
      <a:pPr>
        <a:defRPr sz="700">
          <a:solidFill>
            <a:schemeClr val="bg1"/>
          </a:solidFill>
          <a:latin typeface="Bahnschrift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365761</xdr:colOff>
      <xdr:row>1</xdr:row>
      <xdr:rowOff>1</xdr:rowOff>
    </xdr:from>
    <xdr:to>
      <xdr:col>2</xdr:col>
      <xdr:colOff>243841</xdr:colOff>
      <xdr:row>4</xdr:row>
      <xdr:rowOff>1</xdr:rowOff>
    </xdr:to>
    <xdr:sp macro="[0]!StartSub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F592F0F-8D11-413C-BBD8-52828889FB31}"/>
            </a:ext>
          </a:extLst>
        </xdr:cNvPr>
        <xdr:cNvSpPr/>
      </xdr:nvSpPr>
      <xdr:spPr>
        <a:xfrm>
          <a:off x="365761" y="190501"/>
          <a:ext cx="1097280" cy="571500"/>
        </a:xfrm>
        <a:prstGeom prst="roundRect">
          <a:avLst>
            <a:gd name="adj" fmla="val 23334"/>
          </a:avLst>
        </a:prstGeom>
        <a:solidFill>
          <a:srgbClr val="1C1D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92D050"/>
              </a:solidFill>
              <a:latin typeface="Bahnschrift" panose="020B0502040204020203" pitchFamily="34" charset="0"/>
            </a:rPr>
            <a:t>Start</a:t>
          </a:r>
          <a:endParaRPr lang="en-US" sz="1200" b="1">
            <a:solidFill>
              <a:srgbClr val="92D050"/>
            </a:solidFill>
            <a:latin typeface="Bahnschrift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152401</xdr:colOff>
      <xdr:row>9</xdr:row>
      <xdr:rowOff>33337</xdr:rowOff>
    </xdr:from>
    <xdr:to>
      <xdr:col>5</xdr:col>
      <xdr:colOff>209550</xdr:colOff>
      <xdr:row>22</xdr:row>
      <xdr:rowOff>123825</xdr:rowOff>
    </xdr:to>
    <xdr:graphicFrame macro="">
      <xdr:nvGraphicFramePr>
        <xdr:cNvPr id="6" name="MaChart">
          <a:extLst>
            <a:ext uri="{FF2B5EF4-FFF2-40B4-BE49-F238E27FC236}">
              <a16:creationId xmlns:a16="http://schemas.microsoft.com/office/drawing/2014/main" id="{4403DCAD-6522-4CC7-967F-0662842F4E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152401</xdr:colOff>
      <xdr:row>9</xdr:row>
      <xdr:rowOff>33337</xdr:rowOff>
    </xdr:from>
    <xdr:to>
      <xdr:col>5</xdr:col>
      <xdr:colOff>209550</xdr:colOff>
      <xdr:row>22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933730-5675-4899-81DA-3973C6842E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551E3-45BC-49B6-97E6-A07217B5A068}">
  <sheetPr codeName="Sheet2">
    <tabColor rgb="FF92D050"/>
  </sheetPr>
  <dimension ref="A1:C11"/>
  <sheetViews>
    <sheetView showRowColHeaders="0" workbookViewId="0">
      <selection activeCell="L1" sqref="A1:L1048576"/>
    </sheetView>
  </sheetViews>
  <sheetFormatPr defaultColWidth="0" defaultRowHeight="15" zeroHeight="1" x14ac:dyDescent="0.25"/>
  <cols>
    <col min="1" max="3" width="9.140625" style="44" customWidth="1"/>
    <col min="4" max="16384" width="9.140625" style="44" hidden="1"/>
  </cols>
  <sheetData>
    <row r="1" x14ac:dyDescent="0.25"/>
    <row r="2" x14ac:dyDescent="0.25"/>
    <row r="3" x14ac:dyDescent="0.25"/>
    <row r="4" x14ac:dyDescent="0.25"/>
    <row r="5" x14ac:dyDescent="0.25"/>
    <row r="6" hidden="1" x14ac:dyDescent="0.25"/>
    <row r="7" hidden="1" x14ac:dyDescent="0.25"/>
    <row r="8" hidden="1" x14ac:dyDescent="0.25"/>
    <row r="9" hidden="1" x14ac:dyDescent="0.25"/>
    <row r="10" hidden="1" x14ac:dyDescent="0.25"/>
    <row r="11" hidden="1" x14ac:dyDescent="0.25"/>
  </sheetData>
  <sheetProtection algorithmName="SHA-512" hashValue="ITMFhPAON96RkR6Qown95dikw9jEmhnOJPsRtChtRiGGKZSGIpakmu/qUc1OByO2d6VqfZ7oWlYgUWTaPb1wRA==" saltValue="d7gb1p+MMdUHqH+VWwvLhw==" spinCount="100000"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225EA-1595-4E7B-90A5-833354F760D5}">
  <sheetPr codeName="Sheet1">
    <tabColor rgb="FFFF0000"/>
  </sheetPr>
  <dimension ref="A2:M44"/>
  <sheetViews>
    <sheetView showRowColHeaders="0" tabSelected="1" workbookViewId="0">
      <selection activeCell="I25" sqref="I25"/>
    </sheetView>
  </sheetViews>
  <sheetFormatPr defaultColWidth="0" defaultRowHeight="15" x14ac:dyDescent="0.25"/>
  <cols>
    <col min="1" max="1" width="2.42578125" style="1" customWidth="1"/>
    <col min="2" max="2" width="1.42578125" style="1" customWidth="1"/>
    <col min="3" max="3" width="27.85546875" style="1" customWidth="1"/>
    <col min="4" max="8" width="13.42578125" style="1" customWidth="1"/>
    <col min="9" max="10" width="9.140625" style="1" customWidth="1"/>
    <col min="11" max="11" width="11" style="1" bestFit="1" customWidth="1"/>
    <col min="12" max="12" width="2.42578125" style="1" customWidth="1"/>
    <col min="13" max="13" width="1" style="49" customWidth="1"/>
    <col min="14" max="16384" width="9.140625" hidden="1"/>
  </cols>
  <sheetData>
    <row r="2" spans="2:11" ht="27" x14ac:dyDescent="0.35">
      <c r="B2" s="35" t="s">
        <v>40</v>
      </c>
      <c r="C2" s="23"/>
      <c r="K2" s="29" t="s">
        <v>20</v>
      </c>
    </row>
    <row r="3" spans="2:11" x14ac:dyDescent="0.25">
      <c r="B3" s="32" t="s">
        <v>76</v>
      </c>
      <c r="C3" s="2"/>
      <c r="K3" s="22">
        <f ca="1">TODAY()</f>
        <v>44201</v>
      </c>
    </row>
    <row r="4" spans="2:11" x14ac:dyDescent="0.25">
      <c r="B4" s="32" t="s">
        <v>58</v>
      </c>
      <c r="K4" s="36"/>
    </row>
    <row r="6" spans="2:11" ht="59.25" thickBot="1" x14ac:dyDescent="0.3">
      <c r="C6" s="26">
        <v>0</v>
      </c>
      <c r="D6" s="31">
        <v>0</v>
      </c>
      <c r="E6" s="31">
        <v>0</v>
      </c>
      <c r="F6" s="31">
        <v>0</v>
      </c>
      <c r="G6" s="31">
        <v>0</v>
      </c>
      <c r="H6" s="31">
        <f>IF(C6-SUM(D6:G6)&lt;0,"0",C6-SUM(D6:G6))</f>
        <v>0</v>
      </c>
      <c r="J6" s="24" t="s">
        <v>21</v>
      </c>
      <c r="K6" s="50">
        <v>1</v>
      </c>
    </row>
    <row r="7" spans="2:11" ht="15.75" thickTop="1" x14ac:dyDescent="0.25">
      <c r="C7" s="20" t="s">
        <v>0</v>
      </c>
      <c r="D7" s="19" t="s">
        <v>1</v>
      </c>
      <c r="E7" s="19" t="s">
        <v>2</v>
      </c>
      <c r="F7" s="19" t="s">
        <v>3</v>
      </c>
      <c r="G7" s="19" t="s">
        <v>18</v>
      </c>
      <c r="H7" s="19" t="s">
        <v>19</v>
      </c>
      <c r="J7" s="18" t="s">
        <v>5</v>
      </c>
      <c r="K7" s="30">
        <v>78</v>
      </c>
    </row>
    <row r="8" spans="2:11" x14ac:dyDescent="0.25">
      <c r="C8" s="4"/>
      <c r="D8" s="21" t="str">
        <f>IFERROR((D6/$C$6),"0%")</f>
        <v>0%</v>
      </c>
      <c r="E8" s="21" t="str">
        <f>IFERROR((E6/$C$6),"0%")</f>
        <v>0%</v>
      </c>
      <c r="F8" s="21" t="str">
        <f>IFERROR((F6/$C$6),"0%")</f>
        <v>0%</v>
      </c>
      <c r="G8" s="21" t="str">
        <f>IFERROR((G6/$C$6),"0%")</f>
        <v>0%</v>
      </c>
      <c r="H8" s="21" t="str">
        <f>IFERROR((H6/$C$6),"0%")</f>
        <v>0%</v>
      </c>
      <c r="J8" s="33" t="s">
        <v>6</v>
      </c>
      <c r="K8" s="34">
        <v>4</v>
      </c>
    </row>
    <row r="9" spans="2:11" x14ac:dyDescent="0.25">
      <c r="J9" s="33" t="s">
        <v>7</v>
      </c>
      <c r="K9" s="34">
        <v>0</v>
      </c>
    </row>
    <row r="10" spans="2:11" x14ac:dyDescent="0.25">
      <c r="J10" s="33" t="s">
        <v>8</v>
      </c>
      <c r="K10" s="34">
        <v>68</v>
      </c>
    </row>
    <row r="11" spans="2:11" x14ac:dyDescent="0.25">
      <c r="C11" s="5"/>
      <c r="J11" s="18" t="s">
        <v>78</v>
      </c>
      <c r="K11" s="30">
        <v>116</v>
      </c>
    </row>
    <row r="12" spans="2:11" x14ac:dyDescent="0.25">
      <c r="J12" s="33" t="s">
        <v>6</v>
      </c>
      <c r="K12" s="34">
        <v>0</v>
      </c>
    </row>
    <row r="13" spans="2:11" x14ac:dyDescent="0.25">
      <c r="J13" s="33" t="s">
        <v>7</v>
      </c>
      <c r="K13" s="34">
        <v>0</v>
      </c>
    </row>
    <row r="14" spans="2:11" x14ac:dyDescent="0.25">
      <c r="G14" s="17" t="s">
        <v>10</v>
      </c>
      <c r="H14" s="27">
        <f>K20</f>
        <v>29</v>
      </c>
      <c r="J14" s="33" t="s">
        <v>8</v>
      </c>
      <c r="K14" s="34">
        <v>68</v>
      </c>
    </row>
    <row r="15" spans="2:11" x14ac:dyDescent="0.25">
      <c r="G15" s="17" t="s">
        <v>11</v>
      </c>
      <c r="H15" s="27">
        <f>K19</f>
        <v>3</v>
      </c>
      <c r="J15" s="18" t="s">
        <v>79</v>
      </c>
      <c r="K15" s="30">
        <v>23</v>
      </c>
    </row>
    <row r="16" spans="2:11" x14ac:dyDescent="0.25">
      <c r="D16" s="7"/>
      <c r="E16" s="3"/>
      <c r="F16" s="6"/>
      <c r="G16" s="17" t="s">
        <v>77</v>
      </c>
      <c r="H16" s="16">
        <v>124</v>
      </c>
      <c r="J16" s="33" t="s">
        <v>6</v>
      </c>
      <c r="K16" s="34">
        <v>0</v>
      </c>
    </row>
    <row r="17" spans="3:11" x14ac:dyDescent="0.25">
      <c r="D17" s="8"/>
      <c r="E17" s="8"/>
      <c r="F17" s="8"/>
      <c r="J17" s="33" t="s">
        <v>7</v>
      </c>
      <c r="K17" s="34">
        <v>2</v>
      </c>
    </row>
    <row r="18" spans="3:11" x14ac:dyDescent="0.25">
      <c r="G18" s="28" t="str">
        <f ca="1">IF(WEEKDAY(TODAY())=6,"Have a great day and weekend!", "Have a great day!")</f>
        <v>Have a great day!</v>
      </c>
      <c r="J18" s="33" t="s">
        <v>8</v>
      </c>
      <c r="K18" s="34">
        <v>21</v>
      </c>
    </row>
    <row r="19" spans="3:11" x14ac:dyDescent="0.25">
      <c r="J19" s="18" t="s">
        <v>11</v>
      </c>
      <c r="K19" s="30">
        <v>3</v>
      </c>
    </row>
    <row r="20" spans="3:11" x14ac:dyDescent="0.25">
      <c r="J20" s="18" t="s">
        <v>15</v>
      </c>
      <c r="K20" s="30">
        <v>29</v>
      </c>
    </row>
    <row r="21" spans="3:11" x14ac:dyDescent="0.25">
      <c r="J21" s="18" t="s">
        <v>80</v>
      </c>
      <c r="K21" s="30">
        <v>0</v>
      </c>
    </row>
    <row r="22" spans="3:11" x14ac:dyDescent="0.25">
      <c r="F22" s="9"/>
      <c r="J22" s="54">
        <v>266</v>
      </c>
      <c r="K22" s="54"/>
    </row>
    <row r="24" spans="3:11" x14ac:dyDescent="0.25">
      <c r="I24" s="10"/>
      <c r="J24" s="55"/>
      <c r="K24" s="55"/>
    </row>
    <row r="25" spans="3:11" x14ac:dyDescent="0.25">
      <c r="C25" s="48" t="str">
        <f>IF(Settings!B8="Yes","Remember to check the urgent invoices in report file (attached).","")</f>
        <v>Remember to check the urgent invoices in report file (attached).</v>
      </c>
      <c r="I25" s="11"/>
      <c r="J25" s="56"/>
      <c r="K25" s="56"/>
    </row>
    <row r="26" spans="3:11" x14ac:dyDescent="0.25">
      <c r="C26" s="46"/>
    </row>
    <row r="27" spans="3:11" ht="18" x14ac:dyDescent="0.25">
      <c r="C27" s="47"/>
      <c r="D27" s="12"/>
      <c r="I27" s="13"/>
      <c r="J27" s="13"/>
      <c r="K27" s="14"/>
    </row>
    <row r="28" spans="3:11" x14ac:dyDescent="0.25">
      <c r="I28" s="13"/>
      <c r="J28" s="13"/>
      <c r="K28" s="15"/>
    </row>
    <row r="42" spans="1:12" s="52" customFormat="1" x14ac:dyDescent="0.25">
      <c r="A42" s="51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</row>
    <row r="43" spans="1:12" s="52" customFormat="1" x14ac:dyDescent="0.25">
      <c r="A43" s="51"/>
      <c r="B43" s="51"/>
      <c r="C43" s="53" t="str">
        <f>VLOOKUP(K6,Data!A:D,4)</f>
        <v>porebskif@gmail.com</v>
      </c>
      <c r="D43" s="51"/>
      <c r="E43" s="51"/>
      <c r="F43" s="51"/>
      <c r="G43" s="51"/>
      <c r="H43" s="51"/>
      <c r="I43" s="51"/>
      <c r="J43" s="51"/>
      <c r="K43" s="51"/>
      <c r="L43" s="51"/>
    </row>
    <row r="44" spans="1:12" s="52" customFormat="1" x14ac:dyDescent="0.25">
      <c r="A44" s="51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</row>
  </sheetData>
  <mergeCells count="3">
    <mergeCell ref="J22:K22"/>
    <mergeCell ref="J24:K24"/>
    <mergeCell ref="J25:K25"/>
  </mergeCells>
  <pageMargins left="0.7" right="0.7" top="0.75" bottom="0.75" header="0.3" footer="0.3"/>
  <pageSetup orientation="portrait" r:id="rId1"/>
  <drawing r:id="rId2"/>
  <webPublishItems count="2">
    <webPublishItem id="29051" divId="FilipPorebski-macro_29051" sourceType="sheet" destinationFile="C:\Users\fporebskix0106571\Desktop\ASD.htm" title="ASD"/>
    <webPublishItem id="24205" divId="FilipPorebski-macro_24205" sourceType="range" sourceRef="A1:L1048576" destinationFile="C:\Users\fporebskix0106571\Desktop\FilipPorebski-macro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4A8E8-188B-41F4-940D-C88F9F428E2B}">
  <sheetPr codeName="Sheet3">
    <tabColor theme="1"/>
  </sheetPr>
  <dimension ref="A1:B8"/>
  <sheetViews>
    <sheetView workbookViewId="0">
      <selection activeCell="B14" sqref="B14"/>
    </sheetView>
  </sheetViews>
  <sheetFormatPr defaultRowHeight="15" x14ac:dyDescent="0.25"/>
  <cols>
    <col min="1" max="1" width="25.85546875" style="37" customWidth="1"/>
    <col min="2" max="2" width="37.42578125" style="38" customWidth="1"/>
  </cols>
  <sheetData>
    <row r="1" spans="1:2" x14ac:dyDescent="0.25">
      <c r="A1" s="37" t="s">
        <v>22</v>
      </c>
      <c r="B1" s="38" t="s">
        <v>36</v>
      </c>
    </row>
    <row r="2" spans="1:2" x14ac:dyDescent="0.25">
      <c r="A2" s="37" t="s">
        <v>23</v>
      </c>
      <c r="B2" s="38" t="s">
        <v>26</v>
      </c>
    </row>
    <row r="3" spans="1:2" x14ac:dyDescent="0.25">
      <c r="A3" s="37" t="s">
        <v>24</v>
      </c>
      <c r="B3" s="39">
        <v>44151</v>
      </c>
    </row>
    <row r="4" spans="1:2" x14ac:dyDescent="0.25">
      <c r="A4" s="37" t="s">
        <v>25</v>
      </c>
      <c r="B4" s="38" t="s">
        <v>37</v>
      </c>
    </row>
    <row r="6" spans="1:2" x14ac:dyDescent="0.25">
      <c r="A6" s="37" t="s">
        <v>27</v>
      </c>
      <c r="B6" s="38" t="s">
        <v>28</v>
      </c>
    </row>
    <row r="7" spans="1:2" x14ac:dyDescent="0.25">
      <c r="A7" s="37" t="s">
        <v>29</v>
      </c>
      <c r="B7" s="38" t="s">
        <v>28</v>
      </c>
    </row>
    <row r="8" spans="1:2" x14ac:dyDescent="0.25">
      <c r="A8" s="37" t="s">
        <v>38</v>
      </c>
      <c r="B8" s="38" t="s">
        <v>28</v>
      </c>
    </row>
  </sheetData>
  <dataValidations count="1">
    <dataValidation type="list" allowBlank="1" sqref="B6:B8" xr:uid="{7C6617F1-A99A-4EA4-86C4-76FA2EF3593A}">
      <formula1>"Yes,No"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3B817-B09A-46B8-8415-BB3F40CDE08D}">
  <sheetPr codeName="Sheet4">
    <tabColor theme="1"/>
  </sheetPr>
  <dimension ref="A1:D19"/>
  <sheetViews>
    <sheetView workbookViewId="0">
      <selection activeCell="E16" sqref="E16"/>
    </sheetView>
  </sheetViews>
  <sheetFormatPr defaultRowHeight="15" x14ac:dyDescent="0.25"/>
  <cols>
    <col min="1" max="1" width="9.140625" style="40"/>
    <col min="2" max="2" width="38.5703125" bestFit="1" customWidth="1"/>
    <col min="3" max="3" width="20.5703125" bestFit="1" customWidth="1"/>
    <col min="4" max="4" width="51" bestFit="1" customWidth="1"/>
  </cols>
  <sheetData>
    <row r="1" spans="1:4" x14ac:dyDescent="0.25">
      <c r="A1" s="42" t="s">
        <v>21</v>
      </c>
      <c r="B1" s="41" t="s">
        <v>31</v>
      </c>
      <c r="C1" s="41" t="s">
        <v>30</v>
      </c>
      <c r="D1" s="37" t="s">
        <v>35</v>
      </c>
    </row>
    <row r="2" spans="1:4" x14ac:dyDescent="0.25">
      <c r="A2" s="40">
        <v>1</v>
      </c>
      <c r="B2" t="s">
        <v>40</v>
      </c>
      <c r="C2" t="s">
        <v>58</v>
      </c>
      <c r="D2" s="43" t="s">
        <v>39</v>
      </c>
    </row>
    <row r="3" spans="1:4" x14ac:dyDescent="0.25">
      <c r="A3" s="40">
        <v>2</v>
      </c>
      <c r="B3" t="s">
        <v>41</v>
      </c>
      <c r="C3" t="s">
        <v>59</v>
      </c>
      <c r="D3" s="43" t="s">
        <v>39</v>
      </c>
    </row>
    <row r="4" spans="1:4" x14ac:dyDescent="0.25">
      <c r="A4" s="40">
        <v>3</v>
      </c>
      <c r="B4" t="s">
        <v>42</v>
      </c>
      <c r="C4" t="s">
        <v>60</v>
      </c>
      <c r="D4" s="43" t="s">
        <v>39</v>
      </c>
    </row>
    <row r="5" spans="1:4" x14ac:dyDescent="0.25">
      <c r="A5" s="40">
        <v>4</v>
      </c>
      <c r="B5" t="s">
        <v>43</v>
      </c>
      <c r="C5" t="s">
        <v>61</v>
      </c>
      <c r="D5" s="43" t="s">
        <v>39</v>
      </c>
    </row>
    <row r="6" spans="1:4" x14ac:dyDescent="0.25">
      <c r="A6" s="40">
        <v>5</v>
      </c>
      <c r="B6" t="s">
        <v>44</v>
      </c>
      <c r="C6" t="s">
        <v>62</v>
      </c>
      <c r="D6" s="43" t="s">
        <v>39</v>
      </c>
    </row>
    <row r="7" spans="1:4" x14ac:dyDescent="0.25">
      <c r="A7" s="40">
        <v>6</v>
      </c>
      <c r="B7" t="s">
        <v>45</v>
      </c>
      <c r="C7" t="s">
        <v>63</v>
      </c>
      <c r="D7" s="43" t="s">
        <v>39</v>
      </c>
    </row>
    <row r="8" spans="1:4" x14ac:dyDescent="0.25">
      <c r="A8" s="40">
        <v>7</v>
      </c>
      <c r="B8" t="s">
        <v>46</v>
      </c>
      <c r="C8" t="s">
        <v>64</v>
      </c>
      <c r="D8" s="43" t="s">
        <v>39</v>
      </c>
    </row>
    <row r="9" spans="1:4" x14ac:dyDescent="0.25">
      <c r="A9" s="40">
        <v>8</v>
      </c>
      <c r="B9" t="s">
        <v>47</v>
      </c>
      <c r="C9" t="s">
        <v>65</v>
      </c>
      <c r="D9" s="43" t="s">
        <v>39</v>
      </c>
    </row>
    <row r="10" spans="1:4" x14ac:dyDescent="0.25">
      <c r="A10" s="40">
        <v>9</v>
      </c>
      <c r="B10" t="s">
        <v>48</v>
      </c>
      <c r="C10" t="s">
        <v>66</v>
      </c>
      <c r="D10" s="43" t="s">
        <v>39</v>
      </c>
    </row>
    <row r="11" spans="1:4" x14ac:dyDescent="0.25">
      <c r="A11" s="40">
        <v>10</v>
      </c>
      <c r="B11" t="s">
        <v>49</v>
      </c>
      <c r="C11" t="s">
        <v>67</v>
      </c>
      <c r="D11" s="43" t="s">
        <v>39</v>
      </c>
    </row>
    <row r="12" spans="1:4" x14ac:dyDescent="0.25">
      <c r="A12" s="40">
        <v>11</v>
      </c>
      <c r="B12" t="s">
        <v>50</v>
      </c>
      <c r="C12" t="s">
        <v>68</v>
      </c>
      <c r="D12" s="43" t="s">
        <v>39</v>
      </c>
    </row>
    <row r="13" spans="1:4" x14ac:dyDescent="0.25">
      <c r="A13" s="40">
        <v>12</v>
      </c>
      <c r="B13" t="s">
        <v>51</v>
      </c>
      <c r="C13" t="s">
        <v>69</v>
      </c>
      <c r="D13" s="43" t="s">
        <v>39</v>
      </c>
    </row>
    <row r="14" spans="1:4" x14ac:dyDescent="0.25">
      <c r="A14" s="40">
        <v>13</v>
      </c>
      <c r="B14" t="s">
        <v>52</v>
      </c>
      <c r="C14" t="s">
        <v>70</v>
      </c>
      <c r="D14" s="43" t="s">
        <v>39</v>
      </c>
    </row>
    <row r="15" spans="1:4" x14ac:dyDescent="0.25">
      <c r="A15" s="40">
        <v>14</v>
      </c>
      <c r="B15" t="s">
        <v>53</v>
      </c>
      <c r="C15" t="s">
        <v>71</v>
      </c>
      <c r="D15" s="43" t="s">
        <v>39</v>
      </c>
    </row>
    <row r="16" spans="1:4" x14ac:dyDescent="0.25">
      <c r="A16" s="40">
        <v>15</v>
      </c>
      <c r="B16" t="s">
        <v>54</v>
      </c>
      <c r="C16" t="s">
        <v>72</v>
      </c>
      <c r="D16" s="43" t="s">
        <v>39</v>
      </c>
    </row>
    <row r="17" spans="1:4" x14ac:dyDescent="0.25">
      <c r="A17" s="40">
        <v>16</v>
      </c>
      <c r="B17" t="s">
        <v>55</v>
      </c>
      <c r="C17" t="s">
        <v>73</v>
      </c>
      <c r="D17" s="43" t="s">
        <v>39</v>
      </c>
    </row>
    <row r="18" spans="1:4" x14ac:dyDescent="0.25">
      <c r="A18" s="40">
        <v>17</v>
      </c>
      <c r="B18" t="s">
        <v>56</v>
      </c>
      <c r="C18" t="s">
        <v>74</v>
      </c>
      <c r="D18" s="43" t="s">
        <v>39</v>
      </c>
    </row>
    <row r="19" spans="1:4" x14ac:dyDescent="0.25">
      <c r="A19" s="40">
        <v>18</v>
      </c>
      <c r="B19" t="s">
        <v>57</v>
      </c>
      <c r="C19" t="s">
        <v>75</v>
      </c>
      <c r="D19" s="43" t="s">
        <v>39</v>
      </c>
    </row>
  </sheetData>
  <phoneticPr fontId="3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D50C0-F97B-476E-96C2-C070028F9688}">
  <sheetPr codeName="Sheet5">
    <tabColor rgb="FFFF0000"/>
  </sheetPr>
  <dimension ref="A2:L28"/>
  <sheetViews>
    <sheetView showRowColHeaders="0" workbookViewId="0">
      <selection activeCell="H27" sqref="H27"/>
    </sheetView>
  </sheetViews>
  <sheetFormatPr defaultColWidth="0" defaultRowHeight="15" x14ac:dyDescent="0.25"/>
  <cols>
    <col min="1" max="1" width="2.42578125" style="1" customWidth="1"/>
    <col min="2" max="2" width="1.42578125" style="1" customWidth="1"/>
    <col min="3" max="3" width="27.85546875" style="1" customWidth="1"/>
    <col min="4" max="8" width="13.42578125" style="1" customWidth="1"/>
    <col min="9" max="11" width="9.140625" style="1" customWidth="1"/>
    <col min="12" max="12" width="2.42578125" style="1" customWidth="1"/>
    <col min="13" max="16384" width="9.140625" hidden="1"/>
  </cols>
  <sheetData>
    <row r="2" spans="2:11" ht="27" x14ac:dyDescent="0.35">
      <c r="B2" s="35" t="s">
        <v>32</v>
      </c>
      <c r="C2" s="23"/>
      <c r="K2" s="29" t="s">
        <v>20</v>
      </c>
    </row>
    <row r="3" spans="2:11" x14ac:dyDescent="0.25">
      <c r="B3" s="32" t="s">
        <v>34</v>
      </c>
      <c r="C3" s="2"/>
      <c r="K3" s="22">
        <f ca="1">TODAY()</f>
        <v>44201</v>
      </c>
    </row>
    <row r="4" spans="2:11" x14ac:dyDescent="0.25">
      <c r="B4" s="32" t="s">
        <v>33</v>
      </c>
      <c r="K4" s="36" t="str">
        <f ca="1">IF(OR(WEEKDAY(TODAY())=3,WEEKDAY(TODAY())=5),"Payment run","")</f>
        <v>Payment run</v>
      </c>
    </row>
    <row r="6" spans="2:11" ht="59.25" thickBot="1" x14ac:dyDescent="0.3">
      <c r="C6" s="26">
        <v>333</v>
      </c>
      <c r="D6" s="31">
        <v>93</v>
      </c>
      <c r="E6" s="31">
        <v>62</v>
      </c>
      <c r="F6" s="31">
        <v>129</v>
      </c>
      <c r="G6" s="31">
        <v>2</v>
      </c>
      <c r="H6" s="31">
        <f>C6-(SUM(D6:G6))</f>
        <v>47</v>
      </c>
      <c r="J6" s="24" t="s">
        <v>21</v>
      </c>
      <c r="K6" s="25" t="s">
        <v>4</v>
      </c>
    </row>
    <row r="7" spans="2:11" ht="15.75" thickTop="1" x14ac:dyDescent="0.25">
      <c r="C7" s="20" t="s">
        <v>0</v>
      </c>
      <c r="D7" s="19" t="s">
        <v>1</v>
      </c>
      <c r="E7" s="19" t="s">
        <v>2</v>
      </c>
      <c r="F7" s="19" t="s">
        <v>3</v>
      </c>
      <c r="G7" s="19" t="s">
        <v>18</v>
      </c>
      <c r="H7" s="19" t="s">
        <v>19</v>
      </c>
      <c r="J7" s="18" t="s">
        <v>5</v>
      </c>
      <c r="K7" s="30">
        <v>13</v>
      </c>
    </row>
    <row r="8" spans="2:11" x14ac:dyDescent="0.25">
      <c r="C8" s="4"/>
      <c r="D8" s="21">
        <f>IFERROR((D6/$C$6),"0%")</f>
        <v>0.27927927927927926</v>
      </c>
      <c r="E8" s="21">
        <f>IFERROR((E6/$C$6),"0%")</f>
        <v>0.18618618618618618</v>
      </c>
      <c r="F8" s="21">
        <f>IFERROR((F6/$C$6),"0%")</f>
        <v>0.38738738738738737</v>
      </c>
      <c r="G8" s="21">
        <f>IFERROR((G6/$C$6),"0%")</f>
        <v>6.006006006006006E-3</v>
      </c>
      <c r="H8" s="21">
        <f>IFERROR((H6/$C$6),"0%")</f>
        <v>0.14114114114114115</v>
      </c>
      <c r="J8" s="33" t="s">
        <v>6</v>
      </c>
      <c r="K8" s="34">
        <v>1</v>
      </c>
    </row>
    <row r="9" spans="2:11" x14ac:dyDescent="0.25">
      <c r="J9" s="33" t="s">
        <v>7</v>
      </c>
      <c r="K9" s="34">
        <v>5</v>
      </c>
    </row>
    <row r="10" spans="2:11" x14ac:dyDescent="0.25">
      <c r="J10" s="33" t="s">
        <v>8</v>
      </c>
      <c r="K10" s="34">
        <v>7</v>
      </c>
    </row>
    <row r="11" spans="2:11" x14ac:dyDescent="0.25">
      <c r="C11" s="5"/>
      <c r="J11" s="18" t="s">
        <v>9</v>
      </c>
      <c r="K11" s="30">
        <v>15</v>
      </c>
    </row>
    <row r="12" spans="2:11" x14ac:dyDescent="0.25">
      <c r="J12" s="33" t="s">
        <v>6</v>
      </c>
      <c r="K12" s="34">
        <v>1</v>
      </c>
    </row>
    <row r="13" spans="2:11" x14ac:dyDescent="0.25">
      <c r="J13" s="33" t="s">
        <v>7</v>
      </c>
      <c r="K13" s="34">
        <v>1</v>
      </c>
    </row>
    <row r="14" spans="2:11" x14ac:dyDescent="0.25">
      <c r="G14" s="17" t="s">
        <v>10</v>
      </c>
      <c r="H14" s="27">
        <f>K20</f>
        <v>0</v>
      </c>
      <c r="J14" s="33" t="s">
        <v>8</v>
      </c>
      <c r="K14" s="34">
        <v>12</v>
      </c>
    </row>
    <row r="15" spans="2:11" x14ac:dyDescent="0.25">
      <c r="G15" s="17" t="s">
        <v>11</v>
      </c>
      <c r="H15" s="27">
        <f>K19</f>
        <v>3</v>
      </c>
      <c r="J15" s="18" t="s">
        <v>13</v>
      </c>
      <c r="K15" s="30">
        <v>17</v>
      </c>
    </row>
    <row r="16" spans="2:11" x14ac:dyDescent="0.25">
      <c r="D16" s="7"/>
      <c r="E16" s="3"/>
      <c r="F16" s="6"/>
      <c r="G16" s="17" t="s">
        <v>12</v>
      </c>
      <c r="H16" s="16">
        <v>16</v>
      </c>
      <c r="J16" s="33" t="s">
        <v>6</v>
      </c>
      <c r="K16" s="34">
        <v>2</v>
      </c>
    </row>
    <row r="17" spans="3:11" x14ac:dyDescent="0.25">
      <c r="D17" s="8"/>
      <c r="E17" s="8"/>
      <c r="F17" s="8"/>
      <c r="J17" s="33" t="s">
        <v>7</v>
      </c>
      <c r="K17" s="34">
        <v>8</v>
      </c>
    </row>
    <row r="18" spans="3:11" x14ac:dyDescent="0.25">
      <c r="G18" s="28" t="str">
        <f ca="1">IF(WEEKDAY(TODAY())=6,"Have a great day and weekend!", "Have a great day!")</f>
        <v>Have a great day!</v>
      </c>
      <c r="J18" s="33" t="s">
        <v>8</v>
      </c>
      <c r="K18" s="34">
        <v>6</v>
      </c>
    </row>
    <row r="19" spans="3:11" x14ac:dyDescent="0.25">
      <c r="J19" s="18" t="s">
        <v>14</v>
      </c>
      <c r="K19" s="30">
        <v>3</v>
      </c>
    </row>
    <row r="20" spans="3:11" x14ac:dyDescent="0.25">
      <c r="J20" s="18" t="s">
        <v>15</v>
      </c>
      <c r="K20" s="30">
        <v>0</v>
      </c>
    </row>
    <row r="21" spans="3:11" x14ac:dyDescent="0.25">
      <c r="J21" s="18" t="s">
        <v>16</v>
      </c>
      <c r="K21" s="30">
        <v>5</v>
      </c>
    </row>
    <row r="22" spans="3:11" x14ac:dyDescent="0.25">
      <c r="F22" s="9"/>
      <c r="J22" s="54">
        <v>60</v>
      </c>
      <c r="K22" s="54"/>
    </row>
    <row r="24" spans="3:11" x14ac:dyDescent="0.25">
      <c r="I24" s="45"/>
      <c r="J24" s="55"/>
      <c r="K24" s="55"/>
    </row>
    <row r="25" spans="3:11" x14ac:dyDescent="0.25">
      <c r="C25" s="48" t="s">
        <v>17</v>
      </c>
      <c r="I25" s="11"/>
      <c r="J25" s="56"/>
      <c r="K25" s="56"/>
    </row>
    <row r="26" spans="3:11" x14ac:dyDescent="0.25">
      <c r="C26" s="46" t="str">
        <f ca="1">IF(WEEKDAY(TODAY())&lt;&gt;6,IF(H16&gt;=5,"There are " &amp; H16 &amp; " documents in backlog to book until Friday!",""),IF(H16&gt;=5,"There are still " &amp; H16 &amp; " documents in backlog!",""))</f>
        <v>There are 16 documents in backlog to book until Friday!</v>
      </c>
    </row>
    <row r="27" spans="3:11" ht="18" x14ac:dyDescent="0.25">
      <c r="C27" s="47" t="str">
        <f ca="1">IF(WEEKDAY(TODAY())=6,"Remember to submit your weekly report.", "")</f>
        <v/>
      </c>
      <c r="D27" s="12"/>
      <c r="I27" s="13"/>
      <c r="J27" s="13"/>
      <c r="K27" s="14"/>
    </row>
    <row r="28" spans="3:11" x14ac:dyDescent="0.25">
      <c r="I28" s="13"/>
      <c r="J28" s="13"/>
      <c r="K28" s="15"/>
    </row>
  </sheetData>
  <mergeCells count="3">
    <mergeCell ref="J22:K22"/>
    <mergeCell ref="J24:K24"/>
    <mergeCell ref="J25:K25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Start</vt:lpstr>
      <vt:lpstr>Dashboard</vt:lpstr>
      <vt:lpstr>Settings</vt:lpstr>
      <vt:lpstr>Data</vt:lpstr>
      <vt:lpstr>Dashboard_copy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Filip Porebski --CNTR</dc:creator>
  <cp:lastModifiedBy>Filip Porebski --CNTR</cp:lastModifiedBy>
  <dcterms:created xsi:type="dcterms:W3CDTF">2020-11-16T09:27:20Z</dcterms:created>
  <dcterms:modified xsi:type="dcterms:W3CDTF">2021-01-05T15:51:40Z</dcterms:modified>
</cp:coreProperties>
</file>